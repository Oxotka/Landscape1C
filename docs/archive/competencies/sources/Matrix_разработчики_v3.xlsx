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nikitaaripov/Desktop/"/>
    </mc:Choice>
  </mc:AlternateContent>
  <xr:revisionPtr revIDLastSave="0" documentId="8_{04A0DCC2-630F-BA41-9ECF-8CC43B680F4F}" xr6:coauthVersionLast="47" xr6:coauthVersionMax="47" xr10:uidLastSave="{00000000-0000-0000-0000-000000000000}"/>
  <bookViews>
    <workbookView xWindow="5960" yWindow="2080" windowWidth="23260" windowHeight="12460" activeTab="1" xr2:uid="{00000000-000D-0000-FFFF-FFFF00000000}"/>
  </bookViews>
  <sheets>
    <sheet name="Разработчики" sheetId="1" state="hidden" r:id="rId1"/>
    <sheet name="Программисты" sheetId="3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47" i="1" s="1"/>
  <c r="H41" i="1"/>
  <c r="H34" i="1"/>
  <c r="H27" i="1"/>
  <c r="H21" i="1"/>
  <c r="H16" i="1"/>
  <c r="G46" i="1"/>
  <c r="G47" i="1" s="1"/>
  <c r="G41" i="1"/>
  <c r="G34" i="1"/>
  <c r="G27" i="1"/>
  <c r="G21" i="1"/>
  <c r="G16" i="1"/>
  <c r="F46" i="1"/>
  <c r="F41" i="1"/>
  <c r="F34" i="1"/>
  <c r="F27" i="1"/>
  <c r="F21" i="1"/>
  <c r="F16" i="1"/>
  <c r="F47" i="1"/>
  <c r="E46" i="1"/>
  <c r="E47" i="1" s="1"/>
  <c r="E41" i="1"/>
  <c r="E34" i="1"/>
  <c r="E27" i="1"/>
  <c r="E21" i="1"/>
  <c r="E16" i="1"/>
  <c r="D46" i="1"/>
  <c r="D47" i="1" s="1"/>
  <c r="D41" i="1"/>
  <c r="D34" i="1"/>
  <c r="D27" i="1"/>
  <c r="D21" i="1"/>
  <c r="D16" i="1"/>
  <c r="C46" i="1"/>
  <c r="C47" i="1" s="1"/>
  <c r="C41" i="1"/>
  <c r="C34" i="1"/>
  <c r="C27" i="1"/>
  <c r="C21" i="1"/>
  <c r="C16" i="1"/>
  <c r="B46" i="1"/>
  <c r="B47" i="1" s="1"/>
  <c r="B41" i="1"/>
  <c r="B34" i="1"/>
  <c r="B27" i="1"/>
  <c r="B21" i="1"/>
  <c r="B16" i="1"/>
</calcChain>
</file>

<file path=xl/sharedStrings.xml><?xml version="1.0" encoding="utf-8"?>
<sst xmlns="http://schemas.openxmlformats.org/spreadsheetml/2006/main" count="259" uniqueCount="105">
  <si>
    <t>Группа компетенций</t>
  </si>
  <si>
    <t>Младший разработчик</t>
  </si>
  <si>
    <t>Разработчик</t>
  </si>
  <si>
    <t>Ведущий разработчик</t>
  </si>
  <si>
    <t>Старший разработчик</t>
  </si>
  <si>
    <t>Архитектор</t>
  </si>
  <si>
    <t>Ведущий Архитектор</t>
  </si>
  <si>
    <t>Руководитель практики</t>
  </si>
  <si>
    <t>Tech</t>
  </si>
  <si>
    <t>Администрирование</t>
  </si>
  <si>
    <t>Инструментарий БСП</t>
  </si>
  <si>
    <t>Клиент-серверное программирование</t>
  </si>
  <si>
    <t>Оптимизация производительности</t>
  </si>
  <si>
    <t>Организация процесс производительности</t>
  </si>
  <si>
    <t>Оценка трудозатрат</t>
  </si>
  <si>
    <t>Проектирование и прототипирование</t>
  </si>
  <si>
    <t>Регистры накоплений</t>
  </si>
  <si>
    <t>Регистры сведений</t>
  </si>
  <si>
    <t>Релиз-менеджмент</t>
  </si>
  <si>
    <t>Решение интеграционных задач</t>
  </si>
  <si>
    <t>СКД</t>
  </si>
  <si>
    <t>Стандарты и методы разработки</t>
  </si>
  <si>
    <t>Итого</t>
  </si>
  <si>
    <t>DevOps</t>
  </si>
  <si>
    <t>Автоматизированные системы тестирования</t>
  </si>
  <si>
    <t>Развертывание конвеера</t>
  </si>
  <si>
    <t>Система контроля версий</t>
  </si>
  <si>
    <t>Communications</t>
  </si>
  <si>
    <t>Наставничество</t>
  </si>
  <si>
    <t>Постановка и контроль задач</t>
  </si>
  <si>
    <t>Работа с возражениями</t>
  </si>
  <si>
    <t>Управление ожиданиями</t>
  </si>
  <si>
    <t>Bisiness oriented</t>
  </si>
  <si>
    <t>HR- функция (подбор, оценка и развитие)</t>
  </si>
  <si>
    <t>Медийность</t>
  </si>
  <si>
    <t>Развитие проекта\продукта</t>
  </si>
  <si>
    <t>Участие в пресейлах</t>
  </si>
  <si>
    <t>Фасилитация (внедрение) новых практик</t>
  </si>
  <si>
    <t>Mental</t>
  </si>
  <si>
    <t>Аналитический склад ума</t>
  </si>
  <si>
    <t>Клиентоцентричность</t>
  </si>
  <si>
    <t>Креативность</t>
  </si>
  <si>
    <t>Любознательность</t>
  </si>
  <si>
    <t>Системность</t>
  </si>
  <si>
    <t>Self-managemant</t>
  </si>
  <si>
    <t>Профессионализм (пунктуальность)</t>
  </si>
  <si>
    <t>Тайм-менеджмент</t>
  </si>
  <si>
    <t>Участие в групповых мероприятих (демо, тех.кружки)</t>
  </si>
  <si>
    <t>Суммарный вес</t>
  </si>
  <si>
    <t>Проектное управление</t>
  </si>
  <si>
    <t>Выстраивание процессов</t>
  </si>
  <si>
    <t>Лидерская функция</t>
  </si>
  <si>
    <t>Эксперт 1С</t>
  </si>
  <si>
    <t>Архитектор 1С</t>
  </si>
  <si>
    <t>Senior разработчик 1С</t>
  </si>
  <si>
    <t>Middle разработчик 1С</t>
  </si>
  <si>
    <t>Junior разработчик 1С</t>
  </si>
  <si>
    <t>Hard skills</t>
  </si>
  <si>
    <t>БСП</t>
  </si>
  <si>
    <t>Знание Linux</t>
  </si>
  <si>
    <t>Знание КД</t>
  </si>
  <si>
    <t>Знание стандартов разработки</t>
  </si>
  <si>
    <t>Понимание принципов клиент-серверного взаимодействия</t>
  </si>
  <si>
    <t>Код-ревью</t>
  </si>
  <si>
    <t>Аудит системы</t>
  </si>
  <si>
    <t>Проектирование системы</t>
  </si>
  <si>
    <t>Ведение план-графика проекта</t>
  </si>
  <si>
    <t>Расчет стоимости и бюджета проектов</t>
  </si>
  <si>
    <t>DevOps, инструменты CI/CD</t>
  </si>
  <si>
    <t>v</t>
  </si>
  <si>
    <t>Сбор требований</t>
  </si>
  <si>
    <t>Участие в интервью</t>
  </si>
  <si>
    <t>Фасилитация</t>
  </si>
  <si>
    <t>Планы обмена</t>
  </si>
  <si>
    <t>Управление командой</t>
  </si>
  <si>
    <t xml:space="preserve">Участие в оценке </t>
  </si>
  <si>
    <t>Настаничество</t>
  </si>
  <si>
    <t>Разработка</t>
  </si>
  <si>
    <t>Тестирование системы</t>
  </si>
  <si>
    <t>Разработка документации (ТЗ, проектное решение и пр.)</t>
  </si>
  <si>
    <t>Нагрузочное тестирование</t>
  </si>
  <si>
    <t>Работа с ТЖ</t>
  </si>
  <si>
    <t>Комментарии</t>
  </si>
  <si>
    <t>Обязательно</t>
  </si>
  <si>
    <t>Желательно</t>
  </si>
  <si>
    <t>V</t>
  </si>
  <si>
    <t>Ж</t>
  </si>
  <si>
    <t>Разработка на EDT</t>
  </si>
  <si>
    <t>Версионирование конфигураций (git, хранилище)</t>
  </si>
  <si>
    <t>Запросы (разработка, оптимизация, СКД)</t>
  </si>
  <si>
    <t>Механизм RLS (написание соотв запросов)</t>
  </si>
  <si>
    <t>Знание СКД (прогр. работа)</t>
  </si>
  <si>
    <t>Средства интеграция (SOAP, rest + xml, json)</t>
  </si>
  <si>
    <t>UX/UI (разработка интефейсов в синхронном и асинхронном режиме)</t>
  </si>
  <si>
    <t>Кластер серверов 1С (конфигурирование кластера)</t>
  </si>
  <si>
    <t>Производительность прикладного кода и форм</t>
  </si>
  <si>
    <t>Низкоуровневый SQL, запросы в СУБД (планы запросов, селективность, "прямые" запросы, особенности СУБД)</t>
  </si>
  <si>
    <t>Разработка алгоритмов</t>
  </si>
  <si>
    <t>понимание механики, приниципов функционирования, решение элементарных задач (условное погружение в тему на 30%)</t>
  </si>
  <si>
    <t>уверенное знание, применение на практике, глубокие знания в предмете (условное погружение миниум на 60%)</t>
  </si>
  <si>
    <t>ж</t>
  </si>
  <si>
    <t>В каждой компании своя система грейдов, наполнение и название могут сильно отличаться между собой</t>
  </si>
  <si>
    <t>В матрице сделан фокус на хард скилы, без погружения в предметную область и фокуса на бизнес</t>
  </si>
  <si>
    <t>Под лидерской ролью подразумевается руководитель разработки, тим лид, руководитель направления - но они все выросли из разработчиков.</t>
  </si>
  <si>
    <t>Матрица служит ориентиром - что сейчас востребовано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</si>
</sst>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4"/>
      <color indexed="1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0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1"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5" fillId="4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vertical="center"/>
    </xf>
    <xf numFmtId="0" fontId="5" fillId="0" borderId="3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8" fillId="11" borderId="3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/>
  </sheetViews>
  <sheetFormatPr baseColWidth="10" defaultColWidth="9.1640625" defaultRowHeight="15" x14ac:dyDescent="0.2"/>
  <cols>
    <col min="1" max="1" width="25.5" style="1" customWidth="1"/>
    <col min="3" max="3" width="13.5" customWidth="1"/>
    <col min="5" max="5" width="12.5" customWidth="1"/>
    <col min="6" max="6" width="13.1640625" customWidth="1"/>
    <col min="7" max="7" width="11.1640625" customWidth="1"/>
    <col min="8" max="8" width="14" customWidth="1"/>
  </cols>
  <sheetData>
    <row r="1" spans="1:8" ht="39" x14ac:dyDescent="0.2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5" t="s">
        <v>8</v>
      </c>
      <c r="B2" s="6"/>
      <c r="C2" s="6"/>
      <c r="D2" s="6"/>
      <c r="E2" s="6"/>
      <c r="F2" s="6"/>
      <c r="G2" s="6"/>
      <c r="H2" s="6"/>
    </row>
    <row r="3" spans="1:8" ht="16" x14ac:dyDescent="0.2">
      <c r="A3" s="7" t="s">
        <v>9</v>
      </c>
      <c r="B3" s="8">
        <v>0</v>
      </c>
      <c r="C3" s="8">
        <v>0</v>
      </c>
      <c r="D3" s="9">
        <v>1</v>
      </c>
      <c r="E3" s="9">
        <v>1</v>
      </c>
      <c r="F3" s="10">
        <v>2</v>
      </c>
      <c r="G3" s="10">
        <v>2</v>
      </c>
      <c r="H3" s="11">
        <v>3</v>
      </c>
    </row>
    <row r="4" spans="1:8" ht="16" x14ac:dyDescent="0.2">
      <c r="A4" s="7" t="s">
        <v>10</v>
      </c>
      <c r="B4" s="9">
        <v>1</v>
      </c>
      <c r="C4" s="9">
        <v>1</v>
      </c>
      <c r="D4" s="10">
        <v>2</v>
      </c>
      <c r="E4" s="10">
        <v>2</v>
      </c>
      <c r="F4" s="10">
        <v>2</v>
      </c>
      <c r="G4" s="11">
        <v>3</v>
      </c>
      <c r="H4" s="11">
        <v>3</v>
      </c>
    </row>
    <row r="5" spans="1:8" ht="32" x14ac:dyDescent="0.2">
      <c r="A5" s="7" t="s">
        <v>11</v>
      </c>
      <c r="B5" s="9">
        <v>1</v>
      </c>
      <c r="C5" s="10">
        <v>2</v>
      </c>
      <c r="D5" s="10">
        <v>2</v>
      </c>
      <c r="E5" s="10">
        <v>2</v>
      </c>
      <c r="F5" s="11">
        <v>3</v>
      </c>
      <c r="G5" s="11">
        <v>3</v>
      </c>
      <c r="H5" s="11">
        <v>3</v>
      </c>
    </row>
    <row r="6" spans="1:8" ht="32" x14ac:dyDescent="0.2">
      <c r="A6" s="7" t="s">
        <v>12</v>
      </c>
      <c r="B6" s="8">
        <v>0</v>
      </c>
      <c r="C6" s="8">
        <v>0</v>
      </c>
      <c r="D6" s="9">
        <v>1</v>
      </c>
      <c r="E6" s="10">
        <v>2</v>
      </c>
      <c r="F6" s="10">
        <v>2</v>
      </c>
      <c r="G6" s="10">
        <v>2</v>
      </c>
      <c r="H6" s="11">
        <v>3</v>
      </c>
    </row>
    <row r="7" spans="1:8" ht="32" x14ac:dyDescent="0.2">
      <c r="A7" s="7" t="s">
        <v>13</v>
      </c>
      <c r="B7" s="8">
        <v>0</v>
      </c>
      <c r="C7" s="8">
        <v>0</v>
      </c>
      <c r="D7" s="9">
        <v>1</v>
      </c>
      <c r="E7" s="10">
        <v>2</v>
      </c>
      <c r="F7" s="10">
        <v>2</v>
      </c>
      <c r="G7" s="11">
        <v>3</v>
      </c>
      <c r="H7" s="11">
        <v>3</v>
      </c>
    </row>
    <row r="8" spans="1:8" ht="16" x14ac:dyDescent="0.2">
      <c r="A8" s="7" t="s">
        <v>14</v>
      </c>
      <c r="B8" s="8">
        <v>0</v>
      </c>
      <c r="C8" s="9">
        <v>1</v>
      </c>
      <c r="D8" s="9">
        <v>1</v>
      </c>
      <c r="E8" s="10">
        <v>2</v>
      </c>
      <c r="F8" s="10">
        <v>2</v>
      </c>
      <c r="G8" s="11">
        <v>3</v>
      </c>
      <c r="H8" s="11">
        <v>3</v>
      </c>
    </row>
    <row r="9" spans="1:8" ht="32" x14ac:dyDescent="0.2">
      <c r="A9" s="7" t="s">
        <v>15</v>
      </c>
      <c r="B9" s="8">
        <v>0</v>
      </c>
      <c r="C9" s="8">
        <v>0</v>
      </c>
      <c r="D9" s="9">
        <v>1</v>
      </c>
      <c r="E9" s="9">
        <v>1</v>
      </c>
      <c r="F9" s="10">
        <v>2</v>
      </c>
      <c r="G9" s="11">
        <v>3</v>
      </c>
      <c r="H9" s="11">
        <v>3</v>
      </c>
    </row>
    <row r="10" spans="1:8" ht="16" x14ac:dyDescent="0.2">
      <c r="A10" s="7" t="s">
        <v>16</v>
      </c>
      <c r="B10" s="9">
        <v>1</v>
      </c>
      <c r="C10" s="9">
        <v>1</v>
      </c>
      <c r="D10" s="10">
        <v>2</v>
      </c>
      <c r="E10" s="11">
        <v>3</v>
      </c>
      <c r="F10" s="11">
        <v>3</v>
      </c>
      <c r="G10" s="11">
        <v>3</v>
      </c>
      <c r="H10" s="11">
        <v>3</v>
      </c>
    </row>
    <row r="11" spans="1:8" ht="16" x14ac:dyDescent="0.2">
      <c r="A11" s="7" t="s">
        <v>17</v>
      </c>
      <c r="B11" s="9">
        <v>1</v>
      </c>
      <c r="C11" s="9">
        <v>1</v>
      </c>
      <c r="D11" s="10">
        <v>2</v>
      </c>
      <c r="E11" s="11">
        <v>3</v>
      </c>
      <c r="F11" s="11">
        <v>3</v>
      </c>
      <c r="G11" s="11">
        <v>3</v>
      </c>
      <c r="H11" s="11">
        <v>3</v>
      </c>
    </row>
    <row r="12" spans="1:8" ht="16" x14ac:dyDescent="0.2">
      <c r="A12" s="7" t="s">
        <v>18</v>
      </c>
      <c r="B12" s="8">
        <v>0</v>
      </c>
      <c r="C12" s="9">
        <v>1</v>
      </c>
      <c r="D12" s="9">
        <v>1</v>
      </c>
      <c r="E12" s="9">
        <v>1</v>
      </c>
      <c r="F12" s="10">
        <v>2</v>
      </c>
      <c r="G12" s="11">
        <v>3</v>
      </c>
      <c r="H12" s="11">
        <v>3</v>
      </c>
    </row>
    <row r="13" spans="1:8" ht="32" x14ac:dyDescent="0.2">
      <c r="A13" s="7" t="s">
        <v>19</v>
      </c>
      <c r="B13" s="9">
        <v>1</v>
      </c>
      <c r="C13" s="9">
        <v>1</v>
      </c>
      <c r="D13" s="10">
        <v>2</v>
      </c>
      <c r="E13" s="11">
        <v>3</v>
      </c>
      <c r="F13" s="11">
        <v>3</v>
      </c>
      <c r="G13" s="11">
        <v>3</v>
      </c>
      <c r="H13" s="11">
        <v>3</v>
      </c>
    </row>
    <row r="14" spans="1:8" ht="16" x14ac:dyDescent="0.2">
      <c r="A14" s="7" t="s">
        <v>20</v>
      </c>
      <c r="B14" s="9">
        <v>1</v>
      </c>
      <c r="C14" s="9">
        <v>1</v>
      </c>
      <c r="D14" s="10">
        <v>2</v>
      </c>
      <c r="E14" s="10">
        <v>2</v>
      </c>
      <c r="F14" s="10">
        <v>2</v>
      </c>
      <c r="G14" s="10">
        <v>2</v>
      </c>
      <c r="H14" s="11">
        <v>3</v>
      </c>
    </row>
    <row r="15" spans="1:8" ht="32" x14ac:dyDescent="0.2">
      <c r="A15" s="7" t="s">
        <v>21</v>
      </c>
      <c r="B15" s="9">
        <v>1</v>
      </c>
      <c r="C15" s="10">
        <v>2</v>
      </c>
      <c r="D15" s="10">
        <v>2</v>
      </c>
      <c r="E15" s="10">
        <v>2</v>
      </c>
      <c r="F15" s="11">
        <v>3</v>
      </c>
      <c r="G15" s="11">
        <v>3</v>
      </c>
      <c r="H15" s="11">
        <v>3</v>
      </c>
    </row>
    <row r="16" spans="1:8" ht="19" x14ac:dyDescent="0.25">
      <c r="A16" s="12" t="s">
        <v>22</v>
      </c>
      <c r="B16" s="13">
        <f t="shared" ref="B16:H16" si="0">B3+B4+B5+B6+B7+B8+B9+B10+B11+B12+B13+B14+B15</f>
        <v>7</v>
      </c>
      <c r="C16" s="13">
        <f t="shared" si="0"/>
        <v>11</v>
      </c>
      <c r="D16" s="13">
        <f t="shared" si="0"/>
        <v>20</v>
      </c>
      <c r="E16" s="13">
        <f t="shared" si="0"/>
        <v>26</v>
      </c>
      <c r="F16" s="13">
        <f t="shared" si="0"/>
        <v>31</v>
      </c>
      <c r="G16" s="13">
        <f t="shared" si="0"/>
        <v>36</v>
      </c>
      <c r="H16" s="13">
        <f t="shared" si="0"/>
        <v>39</v>
      </c>
    </row>
    <row r="17" spans="1:8" ht="16" x14ac:dyDescent="0.2">
      <c r="A17" s="14" t="s">
        <v>23</v>
      </c>
      <c r="B17" s="6"/>
      <c r="C17" s="6"/>
      <c r="D17" s="6"/>
      <c r="E17" s="6"/>
      <c r="F17" s="6"/>
      <c r="G17" s="6"/>
      <c r="H17" s="6"/>
    </row>
    <row r="18" spans="1:8" ht="32" x14ac:dyDescent="0.2">
      <c r="A18" s="7" t="s">
        <v>24</v>
      </c>
      <c r="B18" s="8">
        <v>0</v>
      </c>
      <c r="C18" s="8">
        <v>0</v>
      </c>
      <c r="D18" s="9">
        <v>1</v>
      </c>
      <c r="E18" s="9">
        <v>1</v>
      </c>
      <c r="F18" s="10">
        <v>2</v>
      </c>
      <c r="G18" s="11">
        <v>3</v>
      </c>
      <c r="H18" s="11">
        <v>3</v>
      </c>
    </row>
    <row r="19" spans="1:8" ht="16" x14ac:dyDescent="0.2">
      <c r="A19" s="7" t="s">
        <v>25</v>
      </c>
      <c r="B19" s="8">
        <v>0</v>
      </c>
      <c r="C19" s="8">
        <v>0</v>
      </c>
      <c r="D19" s="9">
        <v>1</v>
      </c>
      <c r="E19" s="9">
        <v>1</v>
      </c>
      <c r="F19" s="10">
        <v>2</v>
      </c>
      <c r="G19" s="11">
        <v>3</v>
      </c>
      <c r="H19" s="11">
        <v>3</v>
      </c>
    </row>
    <row r="20" spans="1:8" ht="16" x14ac:dyDescent="0.2">
      <c r="A20" s="7" t="s">
        <v>26</v>
      </c>
      <c r="B20" s="8">
        <v>0</v>
      </c>
      <c r="C20" s="8">
        <v>0</v>
      </c>
      <c r="D20" s="9">
        <v>1</v>
      </c>
      <c r="E20" s="9">
        <v>1</v>
      </c>
      <c r="F20" s="10">
        <v>2</v>
      </c>
      <c r="G20" s="11">
        <v>3</v>
      </c>
      <c r="H20" s="11">
        <v>3</v>
      </c>
    </row>
    <row r="21" spans="1:8" ht="19" x14ac:dyDescent="0.2">
      <c r="A21" s="12" t="s">
        <v>22</v>
      </c>
      <c r="B21" s="15">
        <f t="shared" ref="B21:H21" si="1">B18+B19+B20</f>
        <v>0</v>
      </c>
      <c r="C21" s="15">
        <f t="shared" si="1"/>
        <v>0</v>
      </c>
      <c r="D21" s="15">
        <f t="shared" si="1"/>
        <v>3</v>
      </c>
      <c r="E21" s="15">
        <f t="shared" si="1"/>
        <v>3</v>
      </c>
      <c r="F21" s="15">
        <f t="shared" si="1"/>
        <v>6</v>
      </c>
      <c r="G21" s="15">
        <f t="shared" si="1"/>
        <v>9</v>
      </c>
      <c r="H21" s="15">
        <f t="shared" si="1"/>
        <v>9</v>
      </c>
    </row>
    <row r="22" spans="1:8" ht="16" x14ac:dyDescent="0.2">
      <c r="A22" s="14" t="s">
        <v>27</v>
      </c>
      <c r="B22" s="6"/>
      <c r="C22" s="6"/>
      <c r="D22" s="6"/>
      <c r="E22" s="6"/>
      <c r="F22" s="6"/>
      <c r="G22" s="6"/>
      <c r="H22" s="6"/>
    </row>
    <row r="23" spans="1:8" ht="16" x14ac:dyDescent="0.2">
      <c r="A23" s="7" t="s">
        <v>28</v>
      </c>
      <c r="B23" s="8">
        <v>0</v>
      </c>
      <c r="C23" s="8">
        <v>0</v>
      </c>
      <c r="D23" s="9">
        <v>1</v>
      </c>
      <c r="E23" s="10">
        <v>2</v>
      </c>
      <c r="F23" s="10">
        <v>2</v>
      </c>
      <c r="G23" s="11">
        <v>3</v>
      </c>
      <c r="H23" s="11">
        <v>3</v>
      </c>
    </row>
    <row r="24" spans="1:8" ht="16" x14ac:dyDescent="0.2">
      <c r="A24" s="7" t="s">
        <v>29</v>
      </c>
      <c r="B24" s="8">
        <v>0</v>
      </c>
      <c r="C24" s="8">
        <v>0</v>
      </c>
      <c r="D24" s="9">
        <v>1</v>
      </c>
      <c r="E24" s="10">
        <v>2</v>
      </c>
      <c r="F24" s="10">
        <v>2</v>
      </c>
      <c r="G24" s="11">
        <v>3</v>
      </c>
      <c r="H24" s="11">
        <v>3</v>
      </c>
    </row>
    <row r="25" spans="1:8" ht="16" x14ac:dyDescent="0.2">
      <c r="A25" s="7" t="s">
        <v>30</v>
      </c>
      <c r="B25" s="8">
        <v>0</v>
      </c>
      <c r="C25" s="8">
        <v>0</v>
      </c>
      <c r="D25" s="9">
        <v>1</v>
      </c>
      <c r="E25" s="10">
        <v>2</v>
      </c>
      <c r="F25" s="10">
        <v>2</v>
      </c>
      <c r="G25" s="11">
        <v>3</v>
      </c>
      <c r="H25" s="11">
        <v>3</v>
      </c>
    </row>
    <row r="26" spans="1:8" ht="16" x14ac:dyDescent="0.2">
      <c r="A26" s="7" t="s">
        <v>31</v>
      </c>
      <c r="B26" s="8">
        <v>0</v>
      </c>
      <c r="C26" s="8">
        <v>0</v>
      </c>
      <c r="D26" s="9">
        <v>1</v>
      </c>
      <c r="E26" s="10">
        <v>2</v>
      </c>
      <c r="F26" s="10">
        <v>2</v>
      </c>
      <c r="G26" s="11">
        <v>3</v>
      </c>
      <c r="H26" s="11">
        <v>3</v>
      </c>
    </row>
    <row r="27" spans="1:8" ht="19" x14ac:dyDescent="0.2">
      <c r="A27" s="12" t="s">
        <v>22</v>
      </c>
      <c r="B27" s="15">
        <f>B23+B24+B26</f>
        <v>0</v>
      </c>
      <c r="C27" s="15">
        <f>C23+C24+C26</f>
        <v>0</v>
      </c>
      <c r="D27" s="15">
        <f>D23+D24+D25+D26</f>
        <v>4</v>
      </c>
      <c r="E27" s="15">
        <f>E23+E24+E25+E26</f>
        <v>8</v>
      </c>
      <c r="F27" s="15">
        <f>F23+F24+F25+F26</f>
        <v>8</v>
      </c>
      <c r="G27" s="15">
        <f>G23+G24+G25+G26</f>
        <v>12</v>
      </c>
      <c r="H27" s="15">
        <f>H23+H24+H25+H26</f>
        <v>12</v>
      </c>
    </row>
    <row r="28" spans="1:8" ht="16" x14ac:dyDescent="0.2">
      <c r="A28" s="14" t="s">
        <v>32</v>
      </c>
      <c r="B28" s="6"/>
      <c r="C28" s="6"/>
      <c r="D28" s="6"/>
      <c r="E28" s="6"/>
      <c r="F28" s="6"/>
      <c r="G28" s="6"/>
      <c r="H28" s="6"/>
    </row>
    <row r="29" spans="1:8" ht="32" x14ac:dyDescent="0.2">
      <c r="A29" s="7" t="s">
        <v>33</v>
      </c>
      <c r="B29" s="8">
        <v>0</v>
      </c>
      <c r="C29" s="8">
        <v>0</v>
      </c>
      <c r="D29" s="8">
        <v>0</v>
      </c>
      <c r="E29" s="10">
        <v>2</v>
      </c>
      <c r="F29" s="9">
        <v>1</v>
      </c>
      <c r="G29" s="11">
        <v>3</v>
      </c>
      <c r="H29" s="11">
        <v>3</v>
      </c>
    </row>
    <row r="30" spans="1:8" ht="16" x14ac:dyDescent="0.2">
      <c r="A30" s="7" t="s">
        <v>34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9">
        <v>1</v>
      </c>
      <c r="H30" s="11">
        <v>3</v>
      </c>
    </row>
    <row r="31" spans="1:8" ht="16" x14ac:dyDescent="0.2">
      <c r="A31" s="7" t="s">
        <v>35</v>
      </c>
      <c r="B31" s="8">
        <v>0</v>
      </c>
      <c r="C31" s="8">
        <v>0</v>
      </c>
      <c r="D31" s="8">
        <v>0</v>
      </c>
      <c r="E31" s="9">
        <v>1</v>
      </c>
      <c r="F31" s="9">
        <v>1</v>
      </c>
      <c r="G31" s="10">
        <v>2</v>
      </c>
      <c r="H31" s="11">
        <v>3</v>
      </c>
    </row>
    <row r="32" spans="1:8" ht="16" x14ac:dyDescent="0.2">
      <c r="A32" s="7" t="s">
        <v>36</v>
      </c>
      <c r="B32" s="8">
        <v>0</v>
      </c>
      <c r="C32" s="8">
        <v>0</v>
      </c>
      <c r="D32" s="8">
        <v>0</v>
      </c>
      <c r="E32" s="8">
        <v>0</v>
      </c>
      <c r="F32" s="9">
        <v>1</v>
      </c>
      <c r="G32" s="10">
        <v>2</v>
      </c>
      <c r="H32" s="11">
        <v>3</v>
      </c>
    </row>
    <row r="33" spans="1:8" ht="32" x14ac:dyDescent="0.2">
      <c r="A33" s="7" t="s">
        <v>37</v>
      </c>
      <c r="B33" s="8">
        <v>0</v>
      </c>
      <c r="C33" s="8">
        <v>0</v>
      </c>
      <c r="D33" s="8">
        <v>0</v>
      </c>
      <c r="E33" s="9">
        <v>1</v>
      </c>
      <c r="F33" s="10">
        <v>2</v>
      </c>
      <c r="G33" s="11">
        <v>3</v>
      </c>
      <c r="H33" s="11">
        <v>3</v>
      </c>
    </row>
    <row r="34" spans="1:8" ht="19" x14ac:dyDescent="0.2">
      <c r="A34" s="12" t="s">
        <v>22</v>
      </c>
      <c r="B34" s="15">
        <f t="shared" ref="B34:H34" si="2">B29+B30+B31+B32+B33</f>
        <v>0</v>
      </c>
      <c r="C34" s="15">
        <f t="shared" si="2"/>
        <v>0</v>
      </c>
      <c r="D34" s="15">
        <f t="shared" si="2"/>
        <v>0</v>
      </c>
      <c r="E34" s="15">
        <f t="shared" si="2"/>
        <v>4</v>
      </c>
      <c r="F34" s="15">
        <f t="shared" si="2"/>
        <v>5</v>
      </c>
      <c r="G34" s="15">
        <f t="shared" si="2"/>
        <v>11</v>
      </c>
      <c r="H34" s="15">
        <f t="shared" si="2"/>
        <v>15</v>
      </c>
    </row>
    <row r="35" spans="1:8" ht="16" x14ac:dyDescent="0.2">
      <c r="A35" s="14" t="s">
        <v>38</v>
      </c>
      <c r="B35" s="6"/>
      <c r="C35" s="6"/>
      <c r="D35" s="6"/>
      <c r="E35" s="6"/>
      <c r="F35" s="6"/>
      <c r="G35" s="6"/>
      <c r="H35" s="6"/>
    </row>
    <row r="36" spans="1:8" ht="16" x14ac:dyDescent="0.2">
      <c r="A36" s="7" t="s">
        <v>39</v>
      </c>
      <c r="B36" s="9">
        <v>1</v>
      </c>
      <c r="C36" s="9">
        <v>1</v>
      </c>
      <c r="D36" s="10">
        <v>2</v>
      </c>
      <c r="E36" s="10">
        <v>2</v>
      </c>
      <c r="F36" s="10">
        <v>2</v>
      </c>
      <c r="G36" s="11">
        <v>3</v>
      </c>
      <c r="H36" s="11">
        <v>3</v>
      </c>
    </row>
    <row r="37" spans="1:8" ht="16" x14ac:dyDescent="0.2">
      <c r="A37" s="7" t="s">
        <v>40</v>
      </c>
      <c r="B37" s="8">
        <v>0</v>
      </c>
      <c r="C37" s="8">
        <v>0</v>
      </c>
      <c r="D37" s="9">
        <v>1</v>
      </c>
      <c r="E37" s="11">
        <v>3</v>
      </c>
      <c r="F37" s="9">
        <v>1</v>
      </c>
      <c r="G37" s="11">
        <v>3</v>
      </c>
      <c r="H37" s="11">
        <v>3</v>
      </c>
    </row>
    <row r="38" spans="1:8" ht="16" x14ac:dyDescent="0.2">
      <c r="A38" s="7" t="s">
        <v>41</v>
      </c>
      <c r="B38" s="9">
        <v>1</v>
      </c>
      <c r="C38" s="9">
        <v>1</v>
      </c>
      <c r="D38" s="9">
        <v>1</v>
      </c>
      <c r="E38" s="11">
        <v>3</v>
      </c>
      <c r="F38" s="9">
        <v>1</v>
      </c>
      <c r="G38" s="10">
        <v>2</v>
      </c>
      <c r="H38" s="11">
        <v>3</v>
      </c>
    </row>
    <row r="39" spans="1:8" ht="16" x14ac:dyDescent="0.2">
      <c r="A39" s="7" t="s">
        <v>42</v>
      </c>
      <c r="B39" s="9">
        <v>1</v>
      </c>
      <c r="C39" s="9">
        <v>1</v>
      </c>
      <c r="D39" s="9">
        <v>1</v>
      </c>
      <c r="E39" s="11">
        <v>3</v>
      </c>
      <c r="F39" s="10">
        <v>2</v>
      </c>
      <c r="G39" s="11">
        <v>3</v>
      </c>
      <c r="H39" s="11">
        <v>3</v>
      </c>
    </row>
    <row r="40" spans="1:8" ht="16" x14ac:dyDescent="0.2">
      <c r="A40" s="7" t="s">
        <v>43</v>
      </c>
      <c r="B40" s="8">
        <v>0</v>
      </c>
      <c r="C40" s="9">
        <v>1</v>
      </c>
      <c r="D40" s="9">
        <v>1</v>
      </c>
      <c r="E40" s="11">
        <v>3</v>
      </c>
      <c r="F40" s="10">
        <v>2</v>
      </c>
      <c r="G40" s="11">
        <v>3</v>
      </c>
      <c r="H40" s="11">
        <v>3</v>
      </c>
    </row>
    <row r="41" spans="1:8" ht="19" x14ac:dyDescent="0.2">
      <c r="A41" s="12" t="s">
        <v>22</v>
      </c>
      <c r="B41" s="15">
        <f t="shared" ref="B41:H41" si="3">B36+B37+B38+B39+B40</f>
        <v>3</v>
      </c>
      <c r="C41" s="15">
        <f t="shared" si="3"/>
        <v>4</v>
      </c>
      <c r="D41" s="15">
        <f t="shared" si="3"/>
        <v>6</v>
      </c>
      <c r="E41" s="15">
        <f t="shared" si="3"/>
        <v>14</v>
      </c>
      <c r="F41" s="15">
        <f t="shared" si="3"/>
        <v>8</v>
      </c>
      <c r="G41" s="15">
        <f t="shared" si="3"/>
        <v>14</v>
      </c>
      <c r="H41" s="15">
        <f t="shared" si="3"/>
        <v>15</v>
      </c>
    </row>
    <row r="42" spans="1:8" ht="16" x14ac:dyDescent="0.2">
      <c r="A42" s="14" t="s">
        <v>44</v>
      </c>
      <c r="B42" s="6"/>
      <c r="C42" s="6"/>
      <c r="D42" s="6"/>
      <c r="E42" s="6"/>
      <c r="F42" s="6"/>
      <c r="G42" s="6"/>
      <c r="H42" s="6"/>
    </row>
    <row r="43" spans="1:8" ht="32" x14ac:dyDescent="0.2">
      <c r="A43" s="7" t="s">
        <v>45</v>
      </c>
      <c r="B43" s="8">
        <v>0</v>
      </c>
      <c r="C43" s="9">
        <v>1</v>
      </c>
      <c r="D43" s="9">
        <v>1</v>
      </c>
      <c r="E43" s="10">
        <v>2</v>
      </c>
      <c r="F43" s="10">
        <v>2</v>
      </c>
      <c r="G43" s="11">
        <v>3</v>
      </c>
      <c r="H43" s="11">
        <v>3</v>
      </c>
    </row>
    <row r="44" spans="1:8" ht="16" x14ac:dyDescent="0.2">
      <c r="A44" s="7" t="s">
        <v>46</v>
      </c>
      <c r="B44" s="8">
        <v>0</v>
      </c>
      <c r="C44" s="9">
        <v>1</v>
      </c>
      <c r="D44" s="9">
        <v>1</v>
      </c>
      <c r="E44" s="10">
        <v>2</v>
      </c>
      <c r="F44" s="10">
        <v>2</v>
      </c>
      <c r="G44" s="11">
        <v>3</v>
      </c>
      <c r="H44" s="11">
        <v>3</v>
      </c>
    </row>
    <row r="45" spans="1:8" ht="48" x14ac:dyDescent="0.2">
      <c r="A45" s="7" t="s">
        <v>47</v>
      </c>
      <c r="B45" s="8">
        <v>0</v>
      </c>
      <c r="C45" s="9">
        <v>1</v>
      </c>
      <c r="D45" s="10">
        <v>2</v>
      </c>
      <c r="E45" s="10">
        <v>2</v>
      </c>
      <c r="F45" s="10">
        <v>2</v>
      </c>
      <c r="G45" s="11">
        <v>3</v>
      </c>
      <c r="H45" s="11">
        <v>3</v>
      </c>
    </row>
    <row r="46" spans="1:8" ht="16" x14ac:dyDescent="0.2">
      <c r="A46" s="12" t="s">
        <v>22</v>
      </c>
      <c r="B46" s="16">
        <f t="shared" ref="B46:H46" si="4">B43+B44+B45</f>
        <v>0</v>
      </c>
      <c r="C46" s="16">
        <f t="shared" si="4"/>
        <v>3</v>
      </c>
      <c r="D46" s="16">
        <f t="shared" si="4"/>
        <v>4</v>
      </c>
      <c r="E46" s="16">
        <f t="shared" si="4"/>
        <v>6</v>
      </c>
      <c r="F46" s="16">
        <f t="shared" si="4"/>
        <v>6</v>
      </c>
      <c r="G46" s="16">
        <f t="shared" si="4"/>
        <v>9</v>
      </c>
      <c r="H46" s="16">
        <f t="shared" si="4"/>
        <v>9</v>
      </c>
    </row>
    <row r="47" spans="1:8" ht="20" x14ac:dyDescent="0.2">
      <c r="A47" s="17" t="s">
        <v>48</v>
      </c>
      <c r="B47" s="18">
        <f t="shared" ref="B47:H47" si="5">B46+B41+B34+B27+B21+B16</f>
        <v>10</v>
      </c>
      <c r="C47" s="18">
        <f t="shared" si="5"/>
        <v>18</v>
      </c>
      <c r="D47" s="18">
        <f t="shared" si="5"/>
        <v>37</v>
      </c>
      <c r="E47" s="18">
        <f t="shared" si="5"/>
        <v>61</v>
      </c>
      <c r="F47" s="18">
        <f t="shared" si="5"/>
        <v>64</v>
      </c>
      <c r="G47" s="18">
        <f t="shared" si="5"/>
        <v>91</v>
      </c>
      <c r="H47" s="18">
        <f t="shared" si="5"/>
        <v>99</v>
      </c>
    </row>
  </sheetData>
  <phoneticPr fontId="0" type="noConversion"/>
  <pageMargins left="0.70000004768371604" right="0.70000004768371604" top="0.75" bottom="0.75" header="0.30000001192092901" footer="0.300000011920929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workbookViewId="0">
      <selection activeCell="E48" sqref="E48"/>
    </sheetView>
  </sheetViews>
  <sheetFormatPr baseColWidth="10" defaultColWidth="8.6640625" defaultRowHeight="15" x14ac:dyDescent="0.2"/>
  <cols>
    <col min="1" max="1" width="50.1640625" customWidth="1"/>
    <col min="2" max="2" width="12.6640625" customWidth="1"/>
    <col min="3" max="3" width="12" customWidth="1"/>
    <col min="4" max="4" width="13.1640625" customWidth="1"/>
    <col min="5" max="5" width="11.5" customWidth="1"/>
    <col min="6" max="6" width="9.6640625" customWidth="1"/>
    <col min="7" max="7" width="10.6640625" customWidth="1"/>
    <col min="8" max="8" width="10.5" customWidth="1"/>
    <col min="9" max="9" width="26.6640625" customWidth="1"/>
  </cols>
  <sheetData>
    <row r="1" spans="1:9" ht="30.5" customHeight="1" x14ac:dyDescent="0.2">
      <c r="A1" s="19" t="s">
        <v>0</v>
      </c>
      <c r="B1" s="3" t="s">
        <v>56</v>
      </c>
      <c r="C1" s="3" t="s">
        <v>55</v>
      </c>
      <c r="D1" s="3" t="s">
        <v>54</v>
      </c>
      <c r="E1" s="3" t="s">
        <v>53</v>
      </c>
      <c r="F1" s="3" t="s">
        <v>52</v>
      </c>
      <c r="G1" s="3" t="s">
        <v>51</v>
      </c>
      <c r="I1" s="3"/>
    </row>
    <row r="2" spans="1:9" ht="17.75" customHeight="1" x14ac:dyDescent="0.2">
      <c r="A2" s="23" t="s">
        <v>57</v>
      </c>
      <c r="B2" s="24"/>
      <c r="C2" s="24"/>
      <c r="D2" s="24"/>
      <c r="E2" s="24"/>
      <c r="F2" s="24"/>
      <c r="G2" s="24"/>
      <c r="I2" s="42"/>
    </row>
    <row r="3" spans="1:9" ht="13.25" customHeight="1" x14ac:dyDescent="0.2">
      <c r="A3" s="45" t="s">
        <v>58</v>
      </c>
      <c r="B3" s="41" t="s">
        <v>69</v>
      </c>
      <c r="C3" s="41" t="s">
        <v>69</v>
      </c>
      <c r="D3" s="41" t="s">
        <v>69</v>
      </c>
      <c r="E3" s="41" t="s">
        <v>69</v>
      </c>
      <c r="F3" s="27" t="s">
        <v>86</v>
      </c>
      <c r="G3" s="27" t="s">
        <v>86</v>
      </c>
    </row>
    <row r="4" spans="1:9" ht="28.75" customHeight="1" x14ac:dyDescent="0.2">
      <c r="A4" s="45" t="s">
        <v>96</v>
      </c>
      <c r="B4" s="47" t="s">
        <v>100</v>
      </c>
      <c r="C4" s="47" t="s">
        <v>100</v>
      </c>
      <c r="D4" s="41" t="s">
        <v>69</v>
      </c>
      <c r="E4" s="41" t="s">
        <v>69</v>
      </c>
      <c r="F4" s="41" t="s">
        <v>69</v>
      </c>
      <c r="G4" s="47" t="s">
        <v>100</v>
      </c>
    </row>
    <row r="5" spans="1:9" ht="14.75" customHeight="1" x14ac:dyDescent="0.2">
      <c r="A5" s="45" t="s">
        <v>60</v>
      </c>
      <c r="B5" s="47" t="s">
        <v>100</v>
      </c>
      <c r="C5" s="41" t="s">
        <v>69</v>
      </c>
      <c r="D5" s="41" t="s">
        <v>69</v>
      </c>
      <c r="E5" s="41" t="s">
        <v>69</v>
      </c>
      <c r="F5" s="27" t="s">
        <v>86</v>
      </c>
      <c r="G5" s="27"/>
    </row>
    <row r="6" spans="1:9" ht="16" x14ac:dyDescent="0.2">
      <c r="A6" s="45" t="s">
        <v>61</v>
      </c>
      <c r="B6" s="47" t="s">
        <v>100</v>
      </c>
      <c r="C6" s="41" t="s">
        <v>69</v>
      </c>
      <c r="D6" s="41" t="s">
        <v>69</v>
      </c>
      <c r="E6" s="41" t="s">
        <v>69</v>
      </c>
      <c r="F6" s="27" t="s">
        <v>86</v>
      </c>
      <c r="G6" s="27" t="s">
        <v>86</v>
      </c>
    </row>
    <row r="7" spans="1:9" ht="16" x14ac:dyDescent="0.2">
      <c r="A7" s="45" t="s">
        <v>59</v>
      </c>
      <c r="B7" s="20"/>
      <c r="C7" s="20"/>
      <c r="D7" s="27"/>
      <c r="E7" s="27" t="s">
        <v>86</v>
      </c>
      <c r="F7" s="27" t="s">
        <v>86</v>
      </c>
      <c r="G7" s="27"/>
    </row>
    <row r="8" spans="1:9" ht="16" x14ac:dyDescent="0.2">
      <c r="A8" s="46" t="s">
        <v>80</v>
      </c>
      <c r="B8" s="20"/>
      <c r="C8" s="20"/>
      <c r="D8" s="27" t="s">
        <v>86</v>
      </c>
      <c r="E8" s="27" t="s">
        <v>86</v>
      </c>
      <c r="F8" s="27" t="s">
        <v>86</v>
      </c>
      <c r="G8" s="41"/>
    </row>
    <row r="9" spans="1:9" ht="12.5" customHeight="1" x14ac:dyDescent="0.2">
      <c r="A9" s="45" t="s">
        <v>68</v>
      </c>
      <c r="B9" s="20"/>
      <c r="C9" s="20"/>
      <c r="D9" s="27" t="s">
        <v>86</v>
      </c>
      <c r="E9" s="27" t="s">
        <v>86</v>
      </c>
      <c r="F9" s="27" t="s">
        <v>86</v>
      </c>
      <c r="G9" s="27" t="s">
        <v>86</v>
      </c>
    </row>
    <row r="10" spans="1:9" ht="14.75" customHeight="1" x14ac:dyDescent="0.2">
      <c r="A10" s="45" t="s">
        <v>91</v>
      </c>
      <c r="B10" s="41"/>
      <c r="C10" s="41" t="s">
        <v>69</v>
      </c>
      <c r="D10" s="41" t="s">
        <v>69</v>
      </c>
      <c r="E10" s="41" t="s">
        <v>69</v>
      </c>
      <c r="F10" s="41" t="s">
        <v>69</v>
      </c>
      <c r="G10" s="41" t="s">
        <v>69</v>
      </c>
    </row>
    <row r="11" spans="1:9" ht="14.75" customHeight="1" x14ac:dyDescent="0.2">
      <c r="A11" s="45" t="s">
        <v>90</v>
      </c>
      <c r="B11" s="20"/>
      <c r="C11" s="41" t="s">
        <v>69</v>
      </c>
      <c r="D11" s="41" t="s">
        <v>69</v>
      </c>
      <c r="E11" s="41" t="s">
        <v>69</v>
      </c>
      <c r="F11" s="27" t="s">
        <v>86</v>
      </c>
      <c r="G11" s="27" t="s">
        <v>86</v>
      </c>
    </row>
    <row r="12" spans="1:9" ht="14" customHeight="1" x14ac:dyDescent="0.2">
      <c r="A12" s="45" t="s">
        <v>89</v>
      </c>
      <c r="B12" s="20"/>
      <c r="C12" s="41" t="s">
        <v>69</v>
      </c>
      <c r="D12" s="41" t="s">
        <v>69</v>
      </c>
      <c r="E12" s="41" t="s">
        <v>69</v>
      </c>
      <c r="F12" s="41" t="s">
        <v>69</v>
      </c>
      <c r="G12" s="47" t="s">
        <v>100</v>
      </c>
    </row>
    <row r="13" spans="1:9" ht="14.75" customHeight="1" x14ac:dyDescent="0.2">
      <c r="A13" s="28" t="s">
        <v>73</v>
      </c>
      <c r="B13" s="41" t="s">
        <v>69</v>
      </c>
      <c r="C13" s="41" t="s">
        <v>69</v>
      </c>
      <c r="D13" s="41" t="s">
        <v>69</v>
      </c>
      <c r="E13" s="41" t="s">
        <v>69</v>
      </c>
      <c r="F13" s="41" t="s">
        <v>69</v>
      </c>
      <c r="G13" s="47" t="s">
        <v>100</v>
      </c>
    </row>
    <row r="14" spans="1:9" ht="16" x14ac:dyDescent="0.2">
      <c r="A14" s="28" t="s">
        <v>92</v>
      </c>
      <c r="B14" s="20"/>
      <c r="C14" s="41" t="s">
        <v>69</v>
      </c>
      <c r="D14" s="41" t="s">
        <v>69</v>
      </c>
      <c r="E14" s="41" t="s">
        <v>69</v>
      </c>
      <c r="F14" s="27" t="s">
        <v>86</v>
      </c>
      <c r="G14" s="27" t="s">
        <v>86</v>
      </c>
    </row>
    <row r="15" spans="1:9" ht="30" customHeight="1" x14ac:dyDescent="0.2">
      <c r="A15" s="22" t="s">
        <v>93</v>
      </c>
      <c r="B15" s="20"/>
      <c r="C15" s="41" t="s">
        <v>69</v>
      </c>
      <c r="D15" s="41" t="s">
        <v>69</v>
      </c>
      <c r="E15" s="41" t="s">
        <v>69</v>
      </c>
      <c r="F15" s="27" t="s">
        <v>86</v>
      </c>
      <c r="G15" s="27" t="s">
        <v>86</v>
      </c>
    </row>
    <row r="16" spans="1:9" ht="28.25" customHeight="1" x14ac:dyDescent="0.2">
      <c r="A16" s="22" t="s">
        <v>62</v>
      </c>
      <c r="B16" s="20"/>
      <c r="C16" s="41" t="s">
        <v>69</v>
      </c>
      <c r="D16" s="41" t="s">
        <v>69</v>
      </c>
      <c r="E16" s="41" t="s">
        <v>69</v>
      </c>
      <c r="F16" s="41" t="s">
        <v>69</v>
      </c>
      <c r="G16" s="41" t="s">
        <v>69</v>
      </c>
    </row>
    <row r="17" spans="1:7" ht="16" x14ac:dyDescent="0.2">
      <c r="A17" s="28" t="s">
        <v>95</v>
      </c>
      <c r="B17" s="20"/>
      <c r="C17" s="20"/>
      <c r="D17" s="41" t="s">
        <v>69</v>
      </c>
      <c r="E17" s="41" t="s">
        <v>69</v>
      </c>
      <c r="F17" s="41" t="s">
        <v>69</v>
      </c>
      <c r="G17" s="41" t="s">
        <v>69</v>
      </c>
    </row>
    <row r="18" spans="1:7" ht="16" x14ac:dyDescent="0.2">
      <c r="A18" s="39" t="s">
        <v>94</v>
      </c>
      <c r="B18" s="20"/>
      <c r="C18" s="20"/>
      <c r="D18" s="41" t="s">
        <v>69</v>
      </c>
      <c r="E18" s="21"/>
      <c r="F18" s="41" t="s">
        <v>69</v>
      </c>
      <c r="G18" s="41" t="s">
        <v>69</v>
      </c>
    </row>
    <row r="19" spans="1:7" ht="16" x14ac:dyDescent="0.2">
      <c r="A19" s="39" t="s">
        <v>81</v>
      </c>
      <c r="B19" s="20"/>
      <c r="C19" s="20"/>
      <c r="D19" s="41" t="s">
        <v>69</v>
      </c>
      <c r="E19" s="21"/>
      <c r="F19" s="41" t="s">
        <v>69</v>
      </c>
      <c r="G19" s="41" t="s">
        <v>69</v>
      </c>
    </row>
    <row r="20" spans="1:7" ht="12.5" customHeight="1" x14ac:dyDescent="0.2">
      <c r="A20" s="22" t="s">
        <v>87</v>
      </c>
      <c r="B20" s="20"/>
      <c r="C20" s="20"/>
      <c r="D20" s="27" t="s">
        <v>86</v>
      </c>
      <c r="E20" s="27" t="s">
        <v>86</v>
      </c>
      <c r="F20" s="27" t="s">
        <v>86</v>
      </c>
      <c r="G20" s="27" t="s">
        <v>86</v>
      </c>
    </row>
    <row r="21" spans="1:7" ht="16" x14ac:dyDescent="0.2">
      <c r="A21" s="28" t="s">
        <v>88</v>
      </c>
      <c r="B21" s="41" t="s">
        <v>69</v>
      </c>
      <c r="C21" s="41" t="s">
        <v>69</v>
      </c>
      <c r="D21" s="41" t="s">
        <v>69</v>
      </c>
      <c r="E21" s="41" t="s">
        <v>69</v>
      </c>
      <c r="F21" s="41" t="s">
        <v>69</v>
      </c>
      <c r="G21" s="41" t="s">
        <v>69</v>
      </c>
    </row>
    <row r="22" spans="1:7" ht="12.5" customHeight="1" x14ac:dyDescent="0.2">
      <c r="A22" s="22" t="s">
        <v>97</v>
      </c>
      <c r="B22" s="20"/>
      <c r="C22" s="41" t="s">
        <v>69</v>
      </c>
      <c r="D22" s="41" t="s">
        <v>69</v>
      </c>
      <c r="E22" s="41" t="s">
        <v>69</v>
      </c>
      <c r="F22" s="41" t="s">
        <v>69</v>
      </c>
      <c r="G22" s="41" t="s">
        <v>69</v>
      </c>
    </row>
    <row r="23" spans="1:7" ht="16" x14ac:dyDescent="0.2">
      <c r="A23" s="25" t="s">
        <v>49</v>
      </c>
      <c r="B23" s="26"/>
      <c r="C23" s="26"/>
      <c r="D23" s="26"/>
      <c r="E23" s="26"/>
      <c r="F23" s="26"/>
      <c r="G23" s="26"/>
    </row>
    <row r="24" spans="1:7" ht="17" customHeight="1" x14ac:dyDescent="0.2">
      <c r="A24" s="22" t="s">
        <v>66</v>
      </c>
      <c r="B24" s="21"/>
      <c r="C24" s="21"/>
      <c r="D24" s="21"/>
      <c r="E24" s="21"/>
      <c r="F24" s="21"/>
      <c r="G24" s="41" t="s">
        <v>69</v>
      </c>
    </row>
    <row r="25" spans="1:7" ht="15.5" customHeight="1" x14ac:dyDescent="0.2">
      <c r="A25" s="22" t="s">
        <v>14</v>
      </c>
      <c r="B25" s="7"/>
      <c r="C25" s="7"/>
      <c r="D25" s="27" t="s">
        <v>69</v>
      </c>
      <c r="E25" s="27" t="s">
        <v>69</v>
      </c>
      <c r="F25" s="27" t="s">
        <v>86</v>
      </c>
      <c r="G25" s="41" t="s">
        <v>69</v>
      </c>
    </row>
    <row r="26" spans="1:7" ht="16" x14ac:dyDescent="0.2">
      <c r="A26" s="22" t="s">
        <v>67</v>
      </c>
      <c r="B26" s="21"/>
      <c r="C26" s="21"/>
      <c r="D26" s="21"/>
      <c r="E26" s="21"/>
      <c r="F26" s="21"/>
      <c r="G26" s="41" t="s">
        <v>69</v>
      </c>
    </row>
    <row r="27" spans="1:7" ht="16" x14ac:dyDescent="0.2">
      <c r="A27" s="22" t="s">
        <v>50</v>
      </c>
      <c r="B27" s="21"/>
      <c r="C27" s="21"/>
      <c r="D27" s="27" t="s">
        <v>69</v>
      </c>
      <c r="E27" s="27" t="s">
        <v>69</v>
      </c>
      <c r="F27" s="21"/>
      <c r="G27" s="41" t="s">
        <v>69</v>
      </c>
    </row>
    <row r="28" spans="1:7" ht="16" x14ac:dyDescent="0.2">
      <c r="A28" s="40" t="s">
        <v>70</v>
      </c>
      <c r="B28" s="21"/>
      <c r="C28" s="21"/>
      <c r="D28" s="27" t="s">
        <v>69</v>
      </c>
      <c r="E28" s="27" t="s">
        <v>69</v>
      </c>
      <c r="F28" s="27"/>
      <c r="G28" s="41" t="s">
        <v>69</v>
      </c>
    </row>
    <row r="29" spans="1:7" ht="16" x14ac:dyDescent="0.2">
      <c r="A29" s="20" t="s">
        <v>64</v>
      </c>
      <c r="B29" s="21"/>
      <c r="C29" s="21"/>
      <c r="D29" s="27" t="s">
        <v>69</v>
      </c>
      <c r="E29" s="27" t="s">
        <v>69</v>
      </c>
      <c r="F29" s="27"/>
      <c r="G29" s="41" t="s">
        <v>69</v>
      </c>
    </row>
    <row r="30" spans="1:7" ht="16" x14ac:dyDescent="0.2">
      <c r="A30" s="22" t="s">
        <v>65</v>
      </c>
      <c r="B30" s="21"/>
      <c r="C30" s="21"/>
      <c r="D30" s="27" t="s">
        <v>69</v>
      </c>
      <c r="E30" s="27" t="s">
        <v>69</v>
      </c>
      <c r="F30" s="27" t="s">
        <v>86</v>
      </c>
      <c r="G30" s="41" t="s">
        <v>69</v>
      </c>
    </row>
    <row r="31" spans="1:7" ht="28.25" customHeight="1" x14ac:dyDescent="0.2">
      <c r="A31" s="33" t="s">
        <v>79</v>
      </c>
      <c r="B31" s="34"/>
      <c r="C31" s="34"/>
      <c r="D31" s="35" t="s">
        <v>69</v>
      </c>
      <c r="E31" s="35" t="s">
        <v>69</v>
      </c>
      <c r="F31" s="35"/>
      <c r="G31" s="41" t="s">
        <v>69</v>
      </c>
    </row>
    <row r="32" spans="1:7" ht="15.5" customHeight="1" x14ac:dyDescent="0.2">
      <c r="A32" s="36" t="s">
        <v>77</v>
      </c>
      <c r="B32" s="37" t="s">
        <v>69</v>
      </c>
      <c r="C32" s="37" t="s">
        <v>69</v>
      </c>
      <c r="D32" s="37" t="s">
        <v>69</v>
      </c>
      <c r="E32" s="37" t="s">
        <v>69</v>
      </c>
      <c r="F32" s="38"/>
      <c r="G32" s="27" t="s">
        <v>86</v>
      </c>
    </row>
    <row r="33" spans="1:7" ht="15.5" customHeight="1" x14ac:dyDescent="0.2">
      <c r="A33" s="36" t="s">
        <v>78</v>
      </c>
      <c r="B33" s="37" t="s">
        <v>69</v>
      </c>
      <c r="C33" s="37" t="s">
        <v>69</v>
      </c>
      <c r="D33" s="37" t="s">
        <v>69</v>
      </c>
      <c r="E33" s="37" t="s">
        <v>69</v>
      </c>
      <c r="F33" s="27" t="s">
        <v>86</v>
      </c>
      <c r="G33" s="27" t="s">
        <v>86</v>
      </c>
    </row>
    <row r="34" spans="1:7" ht="15.5" customHeight="1" x14ac:dyDescent="0.2">
      <c r="A34" s="36" t="s">
        <v>63</v>
      </c>
      <c r="B34" s="37"/>
      <c r="C34" s="37"/>
      <c r="D34" s="37" t="s">
        <v>69</v>
      </c>
      <c r="E34" s="37" t="s">
        <v>69</v>
      </c>
      <c r="F34" s="37"/>
      <c r="G34" s="37" t="s">
        <v>69</v>
      </c>
    </row>
    <row r="35" spans="1:7" ht="15.5" customHeight="1" x14ac:dyDescent="0.2">
      <c r="A35" s="36" t="s">
        <v>18</v>
      </c>
      <c r="B35" s="37"/>
      <c r="C35" s="37"/>
      <c r="D35" s="37" t="s">
        <v>69</v>
      </c>
      <c r="E35" s="37" t="s">
        <v>69</v>
      </c>
      <c r="F35" s="38"/>
      <c r="G35" s="27" t="s">
        <v>86</v>
      </c>
    </row>
    <row r="36" spans="1:7" ht="15" customHeight="1" x14ac:dyDescent="0.2">
      <c r="A36" s="29" t="s">
        <v>74</v>
      </c>
      <c r="B36" s="30"/>
      <c r="C36" s="30"/>
      <c r="D36" s="30"/>
      <c r="E36" s="30"/>
      <c r="F36" s="30"/>
      <c r="G36" s="30"/>
    </row>
    <row r="37" spans="1:7" ht="15" customHeight="1" x14ac:dyDescent="0.2">
      <c r="A37" s="32" t="s">
        <v>71</v>
      </c>
      <c r="B37" s="31"/>
      <c r="C37" s="31"/>
      <c r="D37" s="27" t="s">
        <v>69</v>
      </c>
      <c r="E37" s="27" t="s">
        <v>69</v>
      </c>
      <c r="F37" s="27" t="s">
        <v>69</v>
      </c>
      <c r="G37" s="27" t="s">
        <v>69</v>
      </c>
    </row>
    <row r="38" spans="1:7" ht="15" customHeight="1" x14ac:dyDescent="0.2">
      <c r="A38" s="32" t="s">
        <v>75</v>
      </c>
      <c r="B38" s="31"/>
      <c r="C38" s="31"/>
      <c r="D38" s="27" t="s">
        <v>69</v>
      </c>
      <c r="E38" s="27" t="s">
        <v>69</v>
      </c>
      <c r="F38" s="27" t="s">
        <v>69</v>
      </c>
      <c r="G38" s="27" t="s">
        <v>69</v>
      </c>
    </row>
    <row r="39" spans="1:7" ht="15" customHeight="1" x14ac:dyDescent="0.2">
      <c r="A39" s="32" t="s">
        <v>76</v>
      </c>
      <c r="B39" s="31"/>
      <c r="C39" s="31"/>
      <c r="D39" s="27" t="s">
        <v>69</v>
      </c>
      <c r="E39" s="27" t="s">
        <v>69</v>
      </c>
      <c r="F39" s="27" t="s">
        <v>69</v>
      </c>
      <c r="G39" s="27" t="s">
        <v>69</v>
      </c>
    </row>
    <row r="40" spans="1:7" ht="15" customHeight="1" x14ac:dyDescent="0.2">
      <c r="A40" s="32" t="s">
        <v>72</v>
      </c>
      <c r="B40" s="31"/>
      <c r="C40" s="31"/>
      <c r="D40" s="27" t="s">
        <v>69</v>
      </c>
      <c r="E40" s="27" t="s">
        <v>69</v>
      </c>
      <c r="F40" s="27" t="s">
        <v>69</v>
      </c>
      <c r="G40" s="27" t="s">
        <v>69</v>
      </c>
    </row>
    <row r="42" spans="1:7" ht="16" x14ac:dyDescent="0.2">
      <c r="A42" s="44" t="s">
        <v>82</v>
      </c>
    </row>
    <row r="43" spans="1:7" ht="16" x14ac:dyDescent="0.2">
      <c r="A43" s="49" t="s">
        <v>83</v>
      </c>
      <c r="B43" s="48" t="s">
        <v>85</v>
      </c>
      <c r="C43" s="42" t="s">
        <v>99</v>
      </c>
    </row>
    <row r="44" spans="1:7" ht="16" x14ac:dyDescent="0.2">
      <c r="A44" s="49" t="s">
        <v>84</v>
      </c>
      <c r="B44" s="48" t="s">
        <v>86</v>
      </c>
      <c r="C44" s="42" t="s">
        <v>98</v>
      </c>
    </row>
    <row r="45" spans="1:7" ht="32" x14ac:dyDescent="0.2">
      <c r="A45" s="43" t="s">
        <v>101</v>
      </c>
    </row>
    <row r="46" spans="1:7" ht="32" x14ac:dyDescent="0.2">
      <c r="A46" s="43" t="s">
        <v>102</v>
      </c>
    </row>
    <row r="47" spans="1:7" ht="48" x14ac:dyDescent="0.2">
      <c r="A47" s="43" t="s">
        <v>103</v>
      </c>
      <c r="B47" s="42"/>
    </row>
    <row r="48" spans="1:7" x14ac:dyDescent="0.2">
      <c r="A48" s="50" t="s">
        <v>104</v>
      </c>
    </row>
    <row r="49" spans="1:1" x14ac:dyDescent="0.2">
      <c r="A49" s="31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Разработчики</vt:lpstr>
      <vt:lpstr>Программисты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Арипов Никита</cp:lastModifiedBy>
  <dcterms:created xsi:type="dcterms:W3CDTF">2022-08-11T16:37:28Z</dcterms:created>
  <dcterms:modified xsi:type="dcterms:W3CDTF">2026-06-14T13:10:29Z</dcterms:modified>
</cp:coreProperties>
</file>